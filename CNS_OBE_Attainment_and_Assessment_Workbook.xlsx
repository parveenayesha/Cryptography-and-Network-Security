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84df47c0a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fce0a2a7ce49cb"/>
    <x:sheet xmlns:r="http://schemas.openxmlformats.org/officeDocument/2006/relationships" name="CO_PO_Mapping" sheetId="2" r:id="R0ff36f9487b749e2"/>
    <x:sheet xmlns:r="http://schemas.openxmlformats.org/officeDocument/2006/relationships" name="CO_Attainment" sheetId="3" r:id="Refe806f8a6b64d04"/>
    <x:sheet xmlns:r="http://schemas.openxmlformats.org/officeDocument/2006/relationships" name="Attendance" sheetId="4" r:id="Rffe507a1fda94ba1"/>
    <x:sheet xmlns:r="http://schemas.openxmlformats.org/officeDocument/2006/relationships" name="Marks" sheetId="5" r:id="Rbe703b41c33946ed"/>
    <x:sheet xmlns:r="http://schemas.openxmlformats.org/officeDocument/2006/relationships" name="Assessment_Blueprint" sheetId="6" r:id="R9e7bb6352dc14452"/>
    <x:sheet xmlns:r="http://schemas.openxmlformats.org/officeDocument/2006/relationships" name="ExitTickets" sheetId="7" r:id="R78ad3d218d2149ce"/>
    <x:sheet xmlns:r="http://schemas.openxmlformats.org/officeDocument/2006/relationships" name="Reflection_Summary" sheetId="8" r:id="Rc90412d696ef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6D4C00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FFF3D4"/>
      </x:patternFill>
    </x:fill>
    <x:fill>
      <x:patternFill patternType="solid">
        <x:fgColor rgb="FFF2F5FB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46a212c554f8c" /><Relationship Type="http://schemas.openxmlformats.org/officeDocument/2006/relationships/theme" Target="/xl/theme/theme1.xml" Id="R6864a555b355436a" /><Relationship Type="http://schemas.openxmlformats.org/officeDocument/2006/relationships/sharedStrings" Target="/xl/sharedStrings.xml" Id="Rcd8781f1c45a4a07" /><Relationship Type="http://schemas.openxmlformats.org/officeDocument/2006/relationships/worksheet" Target="/xl/worksheets/sheet1.xml" Id="Rb9fce0a2a7ce49cb" /><Relationship Type="http://schemas.openxmlformats.org/officeDocument/2006/relationships/worksheet" Target="/xl/worksheets/sheet2.xml" Id="R0ff36f9487b749e2" /><Relationship Type="http://schemas.openxmlformats.org/officeDocument/2006/relationships/worksheet" Target="/xl/worksheets/sheet3.xml" Id="Refe806f8a6b64d04" /><Relationship Type="http://schemas.openxmlformats.org/officeDocument/2006/relationships/worksheet" Target="/xl/worksheets/sheet4.xml" Id="Rffe507a1fda94ba1" /><Relationship Type="http://schemas.openxmlformats.org/officeDocument/2006/relationships/worksheet" Target="/xl/worksheets/sheet5.xml" Id="Rbe703b41c33946ed" /><Relationship Type="http://schemas.openxmlformats.org/officeDocument/2006/relationships/worksheet" Target="/xl/worksheets/sheet6.xml" Id="R9e7bb6352dc14452" /><Relationship Type="http://schemas.openxmlformats.org/officeDocument/2006/relationships/worksheet" Target="/xl/worksheets/sheet7.xml" Id="R78ad3d218d2149ce" /><Relationship Type="http://schemas.openxmlformats.org/officeDocument/2006/relationships/worksheet" Target="/xl/worksheets/sheet8.xml" Id="Rc90412d696ef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3" hidden="0" customWidth="1"/>
    <x:col min="3" max="3" width="4" hidden="0" customWidth="1"/>
    <x:col min="4" max="4" width="27" hidden="0" customWidth="1"/>
    <x:col min="5" max="5" width="23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5" t="str">
        <x:v>CNS SMART COURSE | OBE DASHBOARD (ILLUSTRATIVE)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Metric</x:v>
      </x:c>
      <x:c r="B3" s="12" t="str">
        <x:v>Value</x:v>
      </x:c>
      <x:c r="D3" s="12" t="str">
        <x:v>OBE Snapshot</x:v>
      </x:c>
      <x:c r="E3" s="12" t="str">
        <x:v>Value</x:v>
      </x:c>
    </x:row>
    <x:row r="4">
      <x:c r="A4" t="str">
        <x:v>Course code</x:v>
      </x:c>
      <x:c r="B4" t="str">
        <x:v>U23CS704</x:v>
      </x:c>
      <x:c r="D4" t="str">
        <x:v>Number of COs</x:v>
      </x:c>
      <x:c r="E4" t="n">
        <x:v>5</x:v>
      </x:c>
    </x:row>
    <x:row r="5">
      <x:c r="A5" t="str">
        <x:v>Credits</x:v>
      </x:c>
      <x:c r="B5" t="n">
        <x:v>3</x:v>
      </x:c>
      <x:c r="D5" t="str">
        <x:v>COs flagged Review</x:v>
      </x:c>
      <x:c r="E5" t="n">
        <x:f>COUNTIF(CO_Attainment!H2:H6,"Review")</x:f>
        <x:v>1</x:v>
      </x:c>
    </x:row>
    <x:row r="6">
      <x:c r="A6" t="str">
        <x:v>CIE marks</x:v>
      </x:c>
      <x:c r="B6" t="n">
        <x:v>40</x:v>
      </x:c>
      <x:c r="D6" t="str">
        <x:v>Overall mean (0-3)</x:v>
      </x:c>
      <x:c r="E6" s="16" t="n">
        <x:f>AVERAGE(CO_Attainment!G2:G6)</x:f>
        <x:v>1.8599999999999999</x:v>
      </x:c>
    </x:row>
    <x:row r="7">
      <x:c r="A7" t="str">
        <x:v>SEE marks</x:v>
      </x:c>
      <x:c r="B7" t="n">
        <x:v>60</x:v>
      </x:c>
      <x:c r="D7" t="str">
        <x:v>CIE/SEE split</x:v>
      </x:c>
      <x:c r="E7" t="str">
        <x:v>40 / 60</x:v>
      </x:c>
    </x:row>
    <x:row r="8">
      <x:c r="D8" t="str">
        <x:v>Data status</x:v>
      </x:c>
      <x:c r="E8" t="str">
        <x:v>SIMULATED DEMO</x:v>
      </x:c>
    </x:row>
    <x:row r="10">
      <x:c r="A10" s="20" t="str">
        <x:v>Important: all sample attainment percentages are synthetic demonstration data, not actual student results. Replace them with verified class data before making decisions.</x:v>
      </x:c>
      <x:c r="B10" s="20"/>
      <x:c r="C10" s="20"/>
      <x:c r="D10" s="20"/>
      <x:c r="E10" s="20"/>
      <x:c r="F10" s="20"/>
      <x:c r="G10" s="20"/>
      <x:c r="H10" s="20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60" hidden="0" customWidth="1"/>
  </x:cols>
  <x:sheetData>
    <x:row r="1">
      <x:c r="A1" s="25" t="str">
        <x:v>DRAFT CO–PO MAPPING | validate against institution-approved POs/PSOs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9" t="str">
        <x:v>CO</x:v>
      </x:c>
      <x:c r="B2" s="29" t="str">
        <x:v>PO1</x:v>
      </x:c>
      <x:c r="C2" s="29" t="str">
        <x:v>PO2</x:v>
      </x:c>
      <x:c r="D2" s="29" t="str">
        <x:v>PO3</x:v>
      </x:c>
      <x:c r="E2" s="29" t="str">
        <x:v>PO4</x:v>
      </x:c>
      <x:c r="F2" s="29" t="str">
        <x:v>PO5</x:v>
      </x:c>
      <x:c r="G2" s="29" t="str">
        <x:v>PO6</x:v>
      </x:c>
      <x:c r="H2" s="29" t="str">
        <x:v>PO7</x:v>
      </x:c>
      <x:c r="I2" s="29" t="str">
        <x:v>PO8</x:v>
      </x:c>
      <x:c r="J2" s="29" t="str">
        <x:v>PO9</x:v>
      </x:c>
      <x:c r="K2" s="29" t="str">
        <x:v>PO10</x:v>
      </x:c>
      <x:c r="L2" s="29" t="str">
        <x:v>PO11</x:v>
      </x:c>
      <x:c r="M2" s="29" t="str">
        <x:v>PO12</x:v>
      </x:c>
      <x:c r="N2" s="29" t="str">
        <x:v>Draft rationale</x:v>
      </x:c>
    </x:row>
    <x:row r="3" ht="52" customHeight="1">
      <x:c r="A3" s="32" t="str">
        <x:v>CO1</x:v>
      </x:c>
      <x:c r="B3" s="32" t="n">
        <x:v>3</x:v>
      </x:c>
      <x:c r="C3" s="32" t="n">
        <x:v>3</x:v>
      </x:c>
      <x:c r="D3" s="32" t="n">
        <x:v>0</x:v>
      </x:c>
      <x:c r="E3" s="32" t="n">
        <x:v>1</x:v>
      </x:c>
      <x:c r="F3" s="32" t="n">
        <x:v>0</x:v>
      </x:c>
      <x:c r="G3" s="32" t="n">
        <x:v>2</x:v>
      </x:c>
      <x:c r="H3" s="32" t="n">
        <x:v>0</x:v>
      </x:c>
      <x:c r="I3" s="32" t="n">
        <x:v>2</x:v>
      </x:c>
      <x:c r="J3" s="32" t="n">
        <x:v>0</x:v>
      </x:c>
      <x:c r="K3" s="32" t="n">
        <x:v>0</x:v>
      </x:c>
      <x:c r="L3" s="32" t="n">
        <x:v>0</x:v>
      </x:c>
      <x:c r="M3" s="32" t="n">
        <x:v>1</x:v>
      </x:c>
      <x:c r="N3" s="32" t="str">
        <x:v>Threat classification supports engineering knowledge, analysis, society/ethics and continued learning.</x:v>
      </x:c>
    </x:row>
    <x:row r="4" ht="52" customHeight="1">
      <x:c r="A4" s="32" t="str">
        <x:v>CO2</x:v>
      </x:c>
      <x:c r="B4" s="32" t="n">
        <x:v>3</x:v>
      </x:c>
      <x:c r="C4" s="32" t="n">
        <x:v>3</x:v>
      </x:c>
      <x:c r="D4" s="32" t="n">
        <x:v>2</x:v>
      </x:c>
      <x:c r="E4" s="32" t="n">
        <x:v>1</x:v>
      </x:c>
      <x:c r="F4" s="32" t="n">
        <x:v>3</x:v>
      </x:c>
      <x:c r="G4" s="32" t="n">
        <x:v>0</x:v>
      </x:c>
      <x:c r="H4" s="32" t="n">
        <x:v>0</x:v>
      </x:c>
      <x:c r="I4" s="32" t="n">
        <x:v>1</x:v>
      </x:c>
      <x:c r="J4" s="32" t="n">
        <x:v>0</x:v>
      </x:c>
      <x:c r="K4" s="32" t="n">
        <x:v>0</x:v>
      </x:c>
      <x:c r="L4" s="32" t="n">
        <x:v>0</x:v>
      </x:c>
      <x:c r="M4" s="32" t="n">
        <x:v>1</x:v>
      </x:c>
      <x:c r="N4" s="32" t="str">
        <x:v>Algorithm/control selection uses knowledge, analysis, design and modern tools.</x:v>
      </x:c>
    </x:row>
    <x:row r="5" ht="52" customHeight="1">
      <x:c r="A5" s="32" t="str">
        <x:v>CO3</x:v>
      </x:c>
      <x:c r="B5" s="32" t="n">
        <x:v>3</x:v>
      </x:c>
      <x:c r="C5" s="32" t="n">
        <x:v>3</x:v>
      </x:c>
      <x:c r="D5" s="32" t="n">
        <x:v>3</x:v>
      </x:c>
      <x:c r="E5" s="32" t="n">
        <x:v>2</x:v>
      </x:c>
      <x:c r="F5" s="32" t="n">
        <x:v>2</x:v>
      </x:c>
      <x:c r="G5" s="32" t="n">
        <x:v>0</x:v>
      </x:c>
      <x:c r="H5" s="32" t="n">
        <x:v>0</x:v>
      </x:c>
      <x:c r="I5" s="32" t="n">
        <x:v>2</x:v>
      </x:c>
      <x:c r="J5" s="32" t="n">
        <x:v>1</x:v>
      </x:c>
      <x:c r="K5" s="32" t="n">
        <x:v>0</x:v>
      </x:c>
      <x:c r="L5" s="32" t="n">
        <x:v>1</x:v>
      </x:c>
      <x:c r="M5" s="32" t="n">
        <x:v>1</x:v>
      </x:c>
      <x:c r="N5" s="32" t="str">
        <x:v>Security architecture design and investigation are central; ethics and coordination also apply.</x:v>
      </x:c>
    </x:row>
    <x:row r="6" ht="52" customHeight="1">
      <x:c r="A6" s="32" t="str">
        <x:v>CO4</x:v>
      </x:c>
      <x:c r="B6" s="32" t="n">
        <x:v>3</x:v>
      </x:c>
      <x:c r="C6" s="32" t="n">
        <x:v>2</x:v>
      </x:c>
      <x:c r="D6" s="32" t="n">
        <x:v>2</x:v>
      </x:c>
      <x:c r="E6" s="32" t="n">
        <x:v>1</x:v>
      </x:c>
      <x:c r="F6" s="32" t="n">
        <x:v>3</x:v>
      </x:c>
      <x:c r="G6" s="32" t="n">
        <x:v>2</x:v>
      </x:c>
      <x:c r="H6" s="32" t="n">
        <x:v>0</x:v>
      </x:c>
      <x:c r="I6" s="32" t="n">
        <x:v>2</x:v>
      </x:c>
      <x:c r="J6" s="32" t="n">
        <x:v>0</x:v>
      </x:c>
      <x:c r="K6" s="32" t="n">
        <x:v>0</x:v>
      </x:c>
      <x:c r="L6" s="32" t="n">
        <x:v>0</x:v>
      </x:c>
      <x:c r="M6" s="32" t="n">
        <x:v>1</x:v>
      </x:c>
      <x:c r="N6" s="32" t="str">
        <x:v>Applying privacy and secure protocols requires tools and awareness of societal/ethical effects.</x:v>
      </x:c>
    </x:row>
    <x:row r="7" ht="52" customHeight="1">
      <x:c r="A7" s="32" t="str">
        <x:v>CO5</x:v>
      </x:c>
      <x:c r="B7" s="32" t="n">
        <x:v>3</x:v>
      </x:c>
      <x:c r="C7" s="32" t="n">
        <x:v>3</x:v>
      </x:c>
      <x:c r="D7" s="32" t="n">
        <x:v>2</x:v>
      </x:c>
      <x:c r="E7" s="32" t="n">
        <x:v>2</x:v>
      </x:c>
      <x:c r="F7" s="32" t="n">
        <x:v>2</x:v>
      </x:c>
      <x:c r="G7" s="32" t="n">
        <x:v>2</x:v>
      </x:c>
      <x:c r="H7" s="32" t="n">
        <x:v>0</x:v>
      </x:c>
      <x:c r="I7" s="32" t="n">
        <x:v>2</x:v>
      </x:c>
      <x:c r="J7" s="32" t="n">
        <x:v>0</x:v>
      </x:c>
      <x:c r="K7" s="32" t="n">
        <x:v>0</x:v>
      </x:c>
      <x:c r="L7" s="32" t="n">
        <x:v>0</x:v>
      </x:c>
      <x:c r="M7" s="32" t="n">
        <x:v>1</x:v>
      </x:c>
      <x:c r="N7" s="32" t="str">
        <x:v>Threat analysis relates to engineering analysis, investigation, societal/ethical issues and learning.</x:v>
      </x:c>
    </x:row>
    <x:row r="9">
      <x:c r="A9" s="35" t="str">
        <x:v>Scale: 3 = substantial; 2 = moderate; 1 = slight; 0 = no proposed mapping. All mappings are a draft for faculty validation; the syllabus PDF does not include an official PO/PSO matrix.</x:v>
      </x:c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</x:sheetData>
  <x:mergeCells>
    <x:mergeCell ref="A1:N1"/>
    <x:mergeCell ref="A9:N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22" hidden="0" customWidth="1"/>
    <x:col min="7" max="7" width="22" hidden="0" customWidth="1"/>
    <x:col min="8" max="8" width="15" hidden="0" customWidth="1"/>
  </x:cols>
  <x:sheetData>
    <x:row r="1">
      <x:c r="A1" s="39" t="str">
        <x:v>CO ATTAINMENT ANALYSIS | SIMULATED DATA</x:v>
      </x:c>
      <x:c r="B1" s="39"/>
      <x:c r="C1" s="39"/>
      <x:c r="D1" s="39"/>
      <x:c r="E1" s="39"/>
      <x:c r="F1" s="39"/>
      <x:c r="G1" s="39"/>
      <x:c r="H1" s="39"/>
    </x:row>
    <x:row r="2">
      <x:c r="A2" s="29" t="str">
        <x:v>CO</x:v>
      </x:c>
      <x:c r="B2" s="29" t="str">
        <x:v>CIE %</x:v>
      </x:c>
      <x:c r="C2" s="29" t="str">
        <x:v>SEE %</x:v>
      </x:c>
      <x:c r="D2" s="29" t="str">
        <x:v>Direct %</x:v>
      </x:c>
      <x:c r="E2" s="29" t="str">
        <x:v>Direct Level (0-3)</x:v>
      </x:c>
      <x:c r="F2" s="29" t="str">
        <x:v>Indirect (0-3)</x:v>
      </x:c>
      <x:c r="G2" s="29" t="str">
        <x:v>Overall (0-3)</x:v>
      </x:c>
      <x:c r="H2" s="29" t="str">
        <x:v>Status</x:v>
      </x:c>
    </x:row>
    <x:row r="3">
      <x:c r="A3" s="32" t="str">
        <x:v>CO1</x:v>
      </x:c>
      <x:c r="B3" s="44" t="n">
        <x:v>75</x:v>
      </x:c>
      <x:c r="C3" s="44" t="n">
        <x:v>72</x:v>
      </x:c>
      <x:c r="D3" s="44" t="n">
        <x:f>B3*0.4+C3*0.6</x:f>
        <x:v>73.19999999999999</x:v>
      </x:c>
      <x:c r="E3" s="32" t="n">
        <x:f>IF(D3&lt;50,0,IF(D3&lt;60,1,IF(D3&lt;75,2,3)))</x:f>
        <x:v>2</x:v>
      </x:c>
      <x:c r="F3" s="45" t="n">
        <x:v>2.6</x:v>
      </x:c>
      <x:c r="G3" s="45" t="n">
        <x:f>E3*0.8+F3*0.2</x:f>
        <x:v>2.12</x:v>
      </x:c>
      <x:c r="H3" s="32" t="str">
        <x:f>IF(G3&gt;=2,"Attained","Review")</x:f>
        <x:v>Attained</x:v>
      </x:c>
    </x:row>
    <x:row r="4">
      <x:c r="A4" s="32" t="str">
        <x:v>CO2</x:v>
      </x:c>
      <x:c r="B4" s="44" t="n">
        <x:v>68</x:v>
      </x:c>
      <x:c r="C4" s="44" t="n">
        <x:v>65</x:v>
      </x:c>
      <x:c r="D4" s="44" t="n">
        <x:f>B4*0.4+C4*0.6</x:f>
        <x:v>66.2</x:v>
      </x:c>
      <x:c r="E4" s="32" t="n">
        <x:f>IF(D4&lt;50,0,IF(D4&lt;60,1,IF(D4&lt;75,2,3)))</x:f>
        <x:v>2</x:v>
      </x:c>
      <x:c r="F4" s="45" t="n">
        <x:v>2.4</x:v>
      </x:c>
      <x:c r="G4" s="45" t="n">
        <x:f>E4*0.8+F4*0.2</x:f>
        <x:v>2.08</x:v>
      </x:c>
      <x:c r="H4" s="32" t="str">
        <x:f>IF(G4&gt;=2,"Attained","Review")</x:f>
        <x:v>Attained</x:v>
      </x:c>
    </x:row>
    <x:row r="5">
      <x:c r="A5" s="32" t="str">
        <x:v>CO3</x:v>
      </x:c>
      <x:c r="B5" s="44" t="n">
        <x:v>54</x:v>
      </x:c>
      <x:c r="C5" s="44" t="n">
        <x:v>48</x:v>
      </x:c>
      <x:c r="D5" s="44" t="n">
        <x:f>B5*0.4+C5*0.6</x:f>
        <x:v>50.4</x:v>
      </x:c>
      <x:c r="E5" s="32" t="n">
        <x:f>IF(D5&lt;50,0,IF(D5&lt;60,1,IF(D5&lt;75,2,3)))</x:f>
        <x:v>1</x:v>
      </x:c>
      <x:c r="F5" s="45" t="n">
        <x:v>1.7</x:v>
      </x:c>
      <x:c r="G5" s="45" t="n">
        <x:f>E5*0.8+F5*0.2</x:f>
        <x:v>1.1400000000000001</x:v>
      </x:c>
      <x:c r="H5" s="32" t="str">
        <x:f>IF(G5&gt;=2,"Attained","Review")</x:f>
        <x:v>Review</x:v>
      </x:c>
    </x:row>
    <x:row r="6">
      <x:c r="A6" s="32" t="str">
        <x:v>CO4</x:v>
      </x:c>
      <x:c r="B6" s="44" t="n">
        <x:v>77</x:v>
      </x:c>
      <x:c r="C6" s="44" t="n">
        <x:v>70</x:v>
      </x:c>
      <x:c r="D6" s="44" t="n">
        <x:f>B6*0.4+C6*0.6</x:f>
        <x:v>72.8</x:v>
      </x:c>
      <x:c r="E6" s="32" t="n">
        <x:f>IF(D6&lt;50,0,IF(D6&lt;60,1,IF(D6&lt;75,2,3)))</x:f>
        <x:v>2</x:v>
      </x:c>
      <x:c r="F6" s="45" t="n">
        <x:v>2.5</x:v>
      </x:c>
      <x:c r="G6" s="45" t="n">
        <x:f>E6*0.8+F6*0.2</x:f>
        <x:v>2.1</x:v>
      </x:c>
      <x:c r="H6" s="32" t="str">
        <x:f>IF(G6&gt;=2,"Attained","Review")</x:f>
        <x:v>Attained</x:v>
      </x:c>
    </x:row>
    <x:row r="7">
      <x:c r="A7" s="32" t="str">
        <x:v>CO5</x:v>
      </x:c>
      <x:c r="B7" s="44" t="n">
        <x:v>60</x:v>
      </x:c>
      <x:c r="C7" s="44" t="n">
        <x:v>56</x:v>
      </x:c>
      <x:c r="D7" s="44" t="n">
        <x:f>B7*0.4+C7*0.6</x:f>
        <x:v>57.6</x:v>
      </x:c>
      <x:c r="E7" s="32" t="n">
        <x:f>IF(D7&lt;50,0,IF(D7&lt;60,1,IF(D7&lt;75,2,3)))</x:f>
        <x:v>1</x:v>
      </x:c>
      <x:c r="F7" s="45" t="n">
        <x:v>2</x:v>
      </x:c>
      <x:c r="G7" s="45" t="n">
        <x:f>E7*0.8+F7*0.2</x:f>
        <x:v>1.2000000000000002</x:v>
      </x:c>
      <x:c r="H7" s="32" t="str">
        <x:f>IF(G7&gt;=2,"Attained","Review")</x:f>
        <x:v>Review</x:v>
      </x:c>
    </x:row>
    <x:row r="9">
      <x:c r="A9" s="49" t="str">
        <x:v>Formula assumptions for demonstration only: Direct % = 40% × CIE % + 60% × SEE %. Direct level is 0 for &lt;50%, 1 for 50–59.9%, 2 for 60–74.9%, 3 for ≥75%. Overall = 80% × direct level + 20% × indirect survey level. Attained threshold = overall ≥2.0. Replace all assumptions with the institution-approved attainment policy before use.</x:v>
      </x:c>
      <x:c r="B9" s="49"/>
      <x:c r="C9" s="49"/>
      <x:c r="D9" s="49"/>
      <x:c r="E9" s="49"/>
      <x:c r="F9" s="49"/>
      <x:c r="G9" s="49"/>
      <x:c r="H9" s="49"/>
    </x:row>
    <x:row r="10">
      <x:c r="A10" s="49"/>
      <x:c r="B10" s="49"/>
      <x:c r="C10" s="49"/>
      <x:c r="D10" s="49"/>
      <x:c r="E10" s="49"/>
      <x:c r="F10" s="49"/>
      <x:c r="G10" s="49"/>
      <x:c r="H10" s="49"/>
    </x:row>
  </x:sheetData>
  <x:mergeCells>
    <x:mergeCell ref="A1:H1"/>
    <x:mergeCell ref="A9:H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6" hidden="0" customWidth="1"/>
    <x:col min="5" max="5" width="35" hidden="0" customWidth="1"/>
  </x:cols>
  <x:sheetData>
    <x:row r="1">
      <x:c r="A1" s="53" t="str">
        <x:v>Date</x:v>
      </x:c>
      <x:c r="B1" s="53" t="str">
        <x:v>Student Code</x:v>
      </x:c>
      <x:c r="C1" s="53" t="str">
        <x:v>Session / Unit</x:v>
      </x:c>
      <x:c r="D1" s="53" t="str">
        <x:v>Present (Y/N)</x:v>
      </x:c>
      <x:c r="E1" s="53" t="str">
        <x:v>Evidence / Note</x:v>
      </x:c>
    </x:row>
    <x:row r="2">
      <x:c r="A2"/>
      <x:c r="B2"/>
      <x:c r="C2"/>
      <x:c r="D2"/>
      <x:c r="E2"/>
    </x:row>
  </x:sheetData>
  <x:dataValidations count="1">
    <x:dataValidation type="list" sqref="D2:D300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3" t="str">
        <x:v>Student Code</x:v>
      </x:c>
      <x:c r="B1" s="53" t="str">
        <x:v>Assessment</x:v>
      </x:c>
      <x:c r="C1" s="53" t="str">
        <x:v>Unit</x:v>
      </x:c>
      <x:c r="D1" s="53" t="str">
        <x:v>CO</x:v>
      </x:c>
      <x:c r="E1" s="53" t="str">
        <x:v>Marks Obtained</x:v>
      </x:c>
      <x:c r="F1" s="53" t="str">
        <x:v>Max Marks</x:v>
      </x:c>
      <x:c r="G1" s="53" t="str">
        <x:v>Percentage</x:v>
      </x:c>
    </x:row>
    <x:row r="2">
      <x:c r="A2" t="str">
        <x:v>DEMO001</x:v>
      </x:c>
      <x:c r="B2" t="str">
        <x:v>Quiz 1</x:v>
      </x:c>
      <x:c r="C2" t="str">
        <x:v>Unit I</x:v>
      </x:c>
      <x:c r="D2" t="str">
        <x:v>CO1</x:v>
      </x:c>
      <x:c r="E2" t="n">
        <x:v>8</x:v>
      </x:c>
      <x:c r="F2" t="n">
        <x:v>10</x:v>
      </x:c>
      <x:c r="G2" t="n">
        <x:f>IFERROR(E2/F2*100,"")</x:f>
        <x:v>80</x:v>
      </x:c>
    </x:row>
    <x:row r="3">
      <x:c r="A3" t="str">
        <x:v>DEMO002</x:v>
      </x:c>
      <x:c r="B3" t="str">
        <x:v>Quiz 1</x:v>
      </x:c>
      <x:c r="C3" t="str">
        <x:v>Unit I</x:v>
      </x:c>
      <x:c r="D3" t="str">
        <x:v>CO1</x:v>
      </x:c>
      <x:c r="E3" t="n">
        <x:v>7</x:v>
      </x:c>
      <x:c r="F3" t="n">
        <x:v>10</x:v>
      </x:c>
      <x:c r="G3" t="n">
        <x:f>IFERROR(E3/F3*100,"")</x:f>
        <x:v>70</x:v>
      </x:c>
    </x:row>
    <x:row r="4">
      <x:c r="A4" t="str">
        <x:v>DEMO003</x:v>
      </x:c>
      <x:c r="B4" t="str">
        <x:v>RSA worksheet</x:v>
      </x:c>
      <x:c r="C4" t="str">
        <x:v>Unit II</x:v>
      </x:c>
      <x:c r="D4" t="str">
        <x:v>CO2</x:v>
      </x:c>
      <x:c r="E4" t="n">
        <x:v>6</x:v>
      </x:c>
      <x:c r="F4" t="n">
        <x:v>10</x:v>
      </x:c>
      <x:c r="G4" t="n">
        <x:f>IFERROR(E4/F4*100,"")</x:f>
        <x:v>60</x:v>
      </x:c>
    </x:row>
    <x:row r="5">
      <x:c r="A5" t="str">
        <x:v>DEMO004</x:v>
      </x:c>
      <x:c r="B5" t="str">
        <x:v>Authentication case</x:v>
      </x:c>
      <x:c r="C5" t="str">
        <x:v>Unit III</x:v>
      </x:c>
      <x:c r="D5" t="str">
        <x:v>CO3</x:v>
      </x:c>
      <x:c r="E5" t="n">
        <x:v>5</x:v>
      </x:c>
      <x:c r="F5" t="n">
        <x:v>10</x:v>
      </x:c>
      <x:c r="G5" t="n">
        <x:f>IFERROR(E5/F5*100,"")</x:f>
        <x:v>50</x:v>
      </x:c>
    </x:row>
    <x:row r="6">
      <x:c r="A6" t="str">
        <x:v>DEMO005</x:v>
      </x:c>
      <x:c r="B6" t="str">
        <x:v>TLS/wireless case</x:v>
      </x:c>
      <x:c r="C6" t="str">
        <x:v>Unit IV</x:v>
      </x:c>
      <x:c r="D6" t="str">
        <x:v>CO4</x:v>
      </x:c>
      <x:c r="E6" t="n">
        <x:v>8</x:v>
      </x:c>
      <x:c r="F6" t="n">
        <x:v>10</x:v>
      </x:c>
      <x:c r="G6" t="n">
        <x:f>IFERROR(E6/F6*100,"")</x:f>
        <x:v>80</x:v>
      </x:c>
    </x:row>
    <x:row r="7">
      <x:c r="G7" t="str">
        <x:f>IFERROR(E7/F7*100,"")</x:f>
      </x:c>
    </x:row>
    <x:row r="8">
      <x:c r="G8" t="str">
        <x:f>IFERROR(E8/F8*100,"")</x:f>
      </x:c>
    </x:row>
    <x:row r="9">
      <x:c r="G9" t="str">
        <x:f>IFERROR(E9/F9*100,"")</x:f>
      </x:c>
    </x:row>
    <x:row r="10">
      <x:c r="G10" t="str">
        <x:f>IFERROR(E10/F10*100,"")</x:f>
      </x:c>
    </x:row>
    <x:row r="11">
      <x:c r="G11" t="str">
        <x:f>IFERROR(E11/F11*100,"")</x:f>
      </x:c>
    </x:row>
    <x:row r="12">
      <x:c r="G12" t="str">
        <x:f>IFERROR(E12/F12*100,"")</x:f>
      </x:c>
    </x:row>
    <x:row r="13">
      <x:c r="G13" t="str">
        <x:f>IFERROR(E13/F13*100,"")</x:f>
      </x:c>
    </x:row>
    <x:row r="14">
      <x:c r="G14" t="str">
        <x:f>IFERROR(E14/F14*100,"")</x:f>
      </x:c>
    </x:row>
    <x:row r="15">
      <x:c r="G15" t="str">
        <x:f>IFERROR(E15/F15*100,"")</x:f>
      </x:c>
    </x:row>
    <x:row r="16">
      <x:c r="G16" t="str">
        <x:f>IFERROR(E16/F16*100,"")</x:f>
      </x:c>
    </x:row>
    <x:row r="17">
      <x:c r="G17" t="str">
        <x:f>IFERROR(E17/F17*100,"")</x:f>
      </x:c>
    </x:row>
    <x:row r="18">
      <x:c r="G18" t="str">
        <x:f>IFERROR(E18/F18*100,"")</x:f>
      </x:c>
    </x:row>
    <x:row r="19">
      <x:c r="G19" t="str">
        <x:f>IFERROR(E19/F19*100,"")</x:f>
      </x:c>
    </x:row>
    <x:row r="20">
      <x:c r="G20" t="str">
        <x:f>IFERROR(E20/F20*100,"")</x:f>
      </x:c>
    </x:row>
    <x:row r="21">
      <x:c r="G21" t="str">
        <x:f>IFERROR(E21/F21*100,"")</x:f>
      </x:c>
    </x:row>
    <x:row r="22">
      <x:c r="G22" t="str">
        <x:f>IFERROR(E22/F22*100,"")</x:f>
      </x:c>
    </x:row>
    <x:row r="23">
      <x:c r="G23" t="str">
        <x:f>IFERROR(E23/F23*100,"")</x:f>
      </x:c>
    </x:row>
    <x:row r="24">
      <x:c r="G24" t="str">
        <x:f>IFERROR(E24/F24*100,"")</x:f>
      </x:c>
    </x:row>
    <x:row r="25">
      <x:c r="G25" t="str">
        <x:f>IFERROR(E25/F25*100,"")</x:f>
      </x:c>
    </x:row>
    <x:row r="26">
      <x:c r="G26" t="str">
        <x:f>IFERROR(E26/F26*100,"")</x:f>
      </x:c>
    </x:row>
    <x:row r="27">
      <x:c r="G27" t="str">
        <x:f>IFERROR(E27/F27*100,"")</x:f>
      </x:c>
    </x:row>
    <x:row r="28">
      <x:c r="G28" t="str">
        <x:f>IFERROR(E28/F28*100,"")</x:f>
      </x:c>
    </x:row>
    <x:row r="29">
      <x:c r="G29" t="str">
        <x:f>IFERROR(E29/F29*100,"")</x:f>
      </x:c>
    </x:row>
    <x:row r="30">
      <x:c r="G30" t="str">
        <x:f>IFERROR(E30/F30*100,"")</x:f>
      </x:c>
    </x:row>
    <x:row r="31">
      <x:c r="G31" t="str">
        <x:f>IFERROR(E31/F31*100,"")</x:f>
      </x:c>
    </x:row>
    <x:row r="32">
      <x:c r="G32" t="str">
        <x:f>IFERROR(E32/F32*100,"")</x:f>
      </x:c>
    </x:row>
    <x:row r="33">
      <x:c r="G33" t="str">
        <x:f>IFERROR(E33/F33*100,"")</x:f>
      </x:c>
    </x:row>
    <x:row r="34">
      <x:c r="G34" t="str">
        <x:f>IFERROR(E34/F34*100,"")</x:f>
      </x:c>
    </x:row>
    <x:row r="35">
      <x:c r="G35" t="str">
        <x:f>IFERROR(E35/F35*100,"")</x:f>
      </x:c>
    </x:row>
    <x:row r="36">
      <x:c r="G36" t="str">
        <x:f>IFERROR(E36/F36*100,"")</x:f>
      </x:c>
    </x:row>
    <x:row r="37">
      <x:c r="G37" t="str">
        <x:f>IFERROR(E37/F37*100,"")</x:f>
      </x:c>
    </x:row>
    <x:row r="38">
      <x:c r="G38" t="str">
        <x:f>IFERROR(E38/F38*100,"")</x:f>
      </x:c>
    </x:row>
    <x:row r="39">
      <x:c r="G39" t="str">
        <x:f>IFERROR(E39/F39*100,"")</x:f>
      </x:c>
    </x:row>
    <x:row r="40">
      <x:c r="G40" t="str">
        <x:f>IFERROR(E40/F40*100,"")</x:f>
      </x:c>
    </x:row>
    <x:row r="41">
      <x:c r="G41" t="str">
        <x:f>IFERROR(E41/F41*100,"")</x:f>
      </x:c>
    </x:row>
    <x:row r="42">
      <x:c r="G42" t="str">
        <x:f>IFERROR(E42/F42*100,"")</x:f>
      </x:c>
    </x:row>
    <x:row r="43">
      <x:c r="G43" t="str">
        <x:f>IFERROR(E43/F43*100,"")</x:f>
      </x:c>
    </x:row>
    <x:row r="44">
      <x:c r="G44" t="str">
        <x:f>IFERROR(E44/F44*100,"")</x:f>
      </x:c>
    </x:row>
    <x:row r="45">
      <x:c r="G45" t="str">
        <x:f>IFERROR(E45/F45*100,"")</x:f>
      </x:c>
    </x:row>
    <x:row r="46">
      <x:c r="G46" t="str">
        <x:f>IFERROR(E46/F46*100,"")</x:f>
      </x:c>
    </x:row>
    <x:row r="47">
      <x:c r="G47" t="str">
        <x:f>IFERROR(E47/F47*100,"")</x:f>
      </x:c>
    </x:row>
    <x:row r="48">
      <x:c r="G48" t="str">
        <x:f>IFERROR(E48/F48*100,"")</x:f>
      </x:c>
    </x:row>
    <x:row r="49">
      <x:c r="G49" t="str">
        <x:f>IFERROR(E49/F49*100,"")</x:f>
      </x:c>
    </x:row>
    <x:row r="50">
      <x:c r="G50" t="str">
        <x:f>IFERROR(E50/F50*100,"")</x:f>
      </x:c>
    </x:row>
    <x:row r="51">
      <x:c r="G51" t="str">
        <x:f>IFERROR(E51/F51*100,"")</x:f>
      </x:c>
    </x:row>
    <x:row r="52">
      <x:c r="G52" t="str">
        <x:f>IFERROR(E52/F52*100,"")</x:f>
      </x:c>
    </x:row>
    <x:row r="53">
      <x:c r="G53" t="str">
        <x:f>IFERROR(E53/F53*100,"")</x:f>
      </x:c>
    </x:row>
    <x:row r="54">
      <x:c r="G54" t="str">
        <x:f>IFERROR(E54/F54*100,"")</x:f>
      </x:c>
    </x:row>
    <x:row r="55">
      <x:c r="G55" t="str">
        <x:f>IFERROR(E55/F55*100,"")</x:f>
      </x:c>
    </x:row>
    <x:row r="56">
      <x:c r="G56" t="str">
        <x:f>IFERROR(E56/F56*100,"")</x:f>
      </x:c>
    </x:row>
    <x:row r="57">
      <x:c r="G57" t="str">
        <x:f>IFERROR(E57/F57*100,"")</x:f>
      </x:c>
    </x:row>
    <x:row r="58">
      <x:c r="G58" t="str">
        <x:f>IFERROR(E58/F58*100,"")</x:f>
      </x:c>
    </x:row>
    <x:row r="59">
      <x:c r="G59" t="str">
        <x:f>IFERROR(E59/F59*100,"")</x:f>
      </x:c>
    </x:row>
    <x:row r="60">
      <x:c r="G60" t="str">
        <x:f>IFERROR(E60/F60*100,"")</x:f>
      </x:c>
    </x:row>
    <x:row r="61">
      <x:c r="G61" t="str">
        <x:f>IFERROR(E61/F61*100,"")</x:f>
      </x:c>
    </x:row>
    <x:row r="62">
      <x:c r="G62" t="str">
        <x:f>IFERROR(E62/F62*100,"")</x:f>
      </x:c>
    </x:row>
    <x:row r="63">
      <x:c r="G63" t="str">
        <x:f>IFERROR(E63/F63*100,"")</x:f>
      </x:c>
    </x:row>
    <x:row r="64">
      <x:c r="G64" t="str">
        <x:f>IFERROR(E64/F64*100,"")</x:f>
      </x:c>
    </x:row>
    <x:row r="65">
      <x:c r="G65" t="str">
        <x:f>IFERROR(E65/F65*100,"")</x:f>
      </x:c>
    </x:row>
    <x:row r="66">
      <x:c r="G66" t="str">
        <x:f>IFERROR(E66/F66*100,"")</x:f>
      </x:c>
    </x:row>
    <x:row r="67">
      <x:c r="G67" t="str">
        <x:f>IFERROR(E67/F67*100,"")</x:f>
      </x:c>
    </x:row>
    <x:row r="68">
      <x:c r="G68" t="str">
        <x:f>IFERROR(E68/F68*100,"")</x:f>
      </x:c>
    </x:row>
    <x:row r="69">
      <x:c r="G69" t="str">
        <x:f>IFERROR(E69/F69*100,"")</x:f>
      </x:c>
    </x:row>
    <x:row r="70">
      <x:c r="G70" t="str">
        <x:f>IFERROR(E70/F70*100,"")</x:f>
      </x:c>
    </x:row>
    <x:row r="71">
      <x:c r="G71" t="str">
        <x:f>IFERROR(E71/F71*100,"")</x:f>
      </x:c>
    </x:row>
    <x:row r="72">
      <x:c r="G72" t="str">
        <x:f>IFERROR(E72/F72*100,"")</x:f>
      </x:c>
    </x:row>
    <x:row r="73">
      <x:c r="G73" t="str">
        <x:f>IFERROR(E73/F73*100,"")</x:f>
      </x:c>
    </x:row>
    <x:row r="74">
      <x:c r="G74" t="str">
        <x:f>IFERROR(E74/F74*100,"")</x:f>
      </x:c>
    </x:row>
    <x:row r="75">
      <x:c r="G75" t="str">
        <x:f>IFERROR(E75/F75*100,"")</x:f>
      </x:c>
    </x:row>
    <x:row r="76">
      <x:c r="G76" t="str">
        <x:f>IFERROR(E76/F76*100,"")</x:f>
      </x:c>
    </x:row>
    <x:row r="77">
      <x:c r="G77" t="str">
        <x:f>IFERROR(E77/F77*100,"")</x:f>
      </x:c>
    </x:row>
    <x:row r="78">
      <x:c r="G78" t="str">
        <x:f>IFERROR(E78/F78*100,"")</x:f>
      </x:c>
    </x:row>
    <x:row r="79">
      <x:c r="G79" t="str">
        <x:f>IFERROR(E79/F79*100,"")</x:f>
      </x:c>
    </x:row>
    <x:row r="80">
      <x:c r="G80" t="str">
        <x:f>IFERROR(E80/F80*100,"")</x:f>
      </x:c>
    </x:row>
    <x:row r="81">
      <x:c r="G81" t="str">
        <x:f>IFERROR(E81/F81*100,"")</x:f>
      </x:c>
    </x:row>
    <x:row r="82">
      <x:c r="G82" t="str">
        <x:f>IFERROR(E82/F82*100,"")</x:f>
      </x:c>
    </x:row>
    <x:row r="83">
      <x:c r="G83" t="str">
        <x:f>IFERROR(E83/F83*100,"")</x:f>
      </x:c>
    </x:row>
    <x:row r="84">
      <x:c r="G84" t="str">
        <x:f>IFERROR(E84/F84*100,"")</x:f>
      </x:c>
    </x:row>
    <x:row r="85">
      <x:c r="G85" t="str">
        <x:f>IFERROR(E85/F85*100,"")</x:f>
      </x:c>
    </x:row>
    <x:row r="86">
      <x:c r="G86" t="str">
        <x:f>IFERROR(E86/F86*100,"")</x:f>
      </x:c>
    </x:row>
    <x:row r="87">
      <x:c r="G87" t="str">
        <x:f>IFERROR(E87/F87*100,"")</x:f>
      </x:c>
    </x:row>
    <x:row r="88">
      <x:c r="G88" t="str">
        <x:f>IFERROR(E88/F88*100,"")</x:f>
      </x:c>
    </x:row>
    <x:row r="89">
      <x:c r="G89" t="str">
        <x:f>IFERROR(E89/F89*100,"")</x:f>
      </x:c>
    </x:row>
    <x:row r="90">
      <x:c r="G90" t="str">
        <x:f>IFERROR(E90/F90*100,"")</x:f>
      </x:c>
    </x:row>
    <x:row r="91">
      <x:c r="G91" t="str">
        <x:f>IFERROR(E91/F91*100,"")</x:f>
      </x:c>
    </x:row>
    <x:row r="92">
      <x:c r="G92" t="str">
        <x:f>IFERROR(E92/F92*100,"")</x:f>
      </x:c>
    </x:row>
    <x:row r="93">
      <x:c r="G93" t="str">
        <x:f>IFERROR(E93/F93*100,"")</x:f>
      </x:c>
    </x:row>
    <x:row r="94">
      <x:c r="G94" t="str">
        <x:f>IFERROR(E94/F94*100,"")</x:f>
      </x:c>
    </x:row>
    <x:row r="95">
      <x:c r="G95" t="str">
        <x:f>IFERROR(E95/F95*100,"")</x:f>
      </x:c>
    </x:row>
    <x:row r="96">
      <x:c r="G96" t="str">
        <x:f>IFERROR(E96/F96*100,"")</x:f>
      </x:c>
    </x:row>
    <x:row r="97">
      <x:c r="G97" t="str">
        <x:f>IFERROR(E97/F97*100,"")</x:f>
      </x:c>
    </x:row>
    <x:row r="98">
      <x:c r="G98" t="str">
        <x:f>IFERROR(E98/F98*100,"")</x:f>
      </x:c>
    </x:row>
    <x:row r="99">
      <x:c r="G99" t="str">
        <x:f>IFERROR(E99/F99*100,"")</x:f>
      </x:c>
    </x:row>
    <x:row r="100">
      <x:c r="G100" t="str">
        <x:f>IFERROR(E100/F100*100,"")</x:f>
      </x:c>
    </x:row>
    <x:row r="101">
      <x:c r="G101" t="str">
        <x:f>IFERROR(E101/F101*100,"")</x:f>
      </x:c>
    </x:row>
    <x:row r="102">
      <x:c r="G102" t="str">
        <x:f>IFERROR(E102/F102*100,"")</x:f>
      </x:c>
    </x:row>
    <x:row r="103">
      <x:c r="G103" t="str">
        <x:f>IFERROR(E103/F103*100,"")</x:f>
      </x:c>
    </x:row>
    <x:row r="104">
      <x:c r="G104" t="str">
        <x:f>IFERROR(E104/F104*100,"")</x:f>
      </x:c>
    </x:row>
    <x:row r="105">
      <x:c r="G105" t="str">
        <x:f>IFERROR(E105/F105*100,"")</x:f>
      </x:c>
    </x:row>
    <x:row r="106">
      <x:c r="G106" t="str">
        <x:f>IFERROR(E106/F106*100,"")</x:f>
      </x:c>
    </x:row>
    <x:row r="107">
      <x:c r="G107" t="str">
        <x:f>IFERROR(E107/F107*100,"")</x:f>
      </x:c>
    </x:row>
    <x:row r="108">
      <x:c r="G108" t="str">
        <x:f>IFERROR(E108/F108*100,"")</x:f>
      </x:c>
    </x:row>
    <x:row r="109">
      <x:c r="G109" t="str">
        <x:f>IFERROR(E109/F109*100,"")</x:f>
      </x:c>
    </x:row>
    <x:row r="110">
      <x:c r="G110" t="str">
        <x:f>IFERROR(E110/F110*100,"")</x:f>
      </x:c>
    </x:row>
    <x:row r="111">
      <x:c r="G111" t="str">
        <x:f>IFERROR(E111/F111*100,"")</x:f>
      </x:c>
    </x:row>
    <x:row r="112">
      <x:c r="G112" t="str">
        <x:f>IFERROR(E112/F112*100,"")</x:f>
      </x:c>
    </x:row>
    <x:row r="113">
      <x:c r="G113" t="str">
        <x:f>IFERROR(E113/F113*100,"")</x:f>
      </x:c>
    </x:row>
    <x:row r="114">
      <x:c r="G114" t="str">
        <x:f>IFERROR(E114/F114*100,"")</x:f>
      </x:c>
    </x:row>
    <x:row r="115">
      <x:c r="G115" t="str">
        <x:f>IFERROR(E115/F115*100,"")</x:f>
      </x:c>
    </x:row>
    <x:row r="116">
      <x:c r="G116" t="str">
        <x:f>IFERROR(E116/F116*100,"")</x:f>
      </x:c>
    </x:row>
    <x:row r="117">
      <x:c r="G117" t="str">
        <x:f>IFERROR(E117/F117*100,"")</x:f>
      </x:c>
    </x:row>
    <x:row r="118">
      <x:c r="G118" t="str">
        <x:f>IFERROR(E118/F118*100,"")</x:f>
      </x:c>
    </x:row>
    <x:row r="119">
      <x:c r="G119" t="str">
        <x:f>IFERROR(E119/F119*100,"")</x:f>
      </x:c>
    </x:row>
    <x:row r="120">
      <x:c r="G120" t="str">
        <x:f>IFERROR(E120/F120*100,"")</x:f>
      </x:c>
    </x:row>
    <x:row r="121">
      <x:c r="G121" t="str">
        <x:f>IFERROR(E121/F121*100,"")</x:f>
      </x:c>
    </x:row>
    <x:row r="122">
      <x:c r="G122" t="str">
        <x:f>IFERROR(E122/F122*100,"")</x:f>
      </x:c>
    </x:row>
    <x:row r="123">
      <x:c r="G123" t="str">
        <x:f>IFERROR(E123/F123*100,"")</x:f>
      </x:c>
    </x:row>
    <x:row r="124">
      <x:c r="G124" t="str">
        <x:f>IFERROR(E124/F124*100,"")</x:f>
      </x:c>
    </x:row>
    <x:row r="125">
      <x:c r="G125" t="str">
        <x:f>IFERROR(E125/F125*100,"")</x:f>
      </x:c>
    </x:row>
    <x:row r="126">
      <x:c r="G126" t="str">
        <x:f>IFERROR(E126/F126*100,"")</x:f>
      </x:c>
    </x:row>
    <x:row r="127">
      <x:c r="G127" t="str">
        <x:f>IFERROR(E127/F127*100,"")</x:f>
      </x:c>
    </x:row>
    <x:row r="128">
      <x:c r="G128" t="str">
        <x:f>IFERROR(E128/F128*100,"")</x:f>
      </x:c>
    </x:row>
    <x:row r="129">
      <x:c r="G129" t="str">
        <x:f>IFERROR(E129/F129*100,"")</x:f>
      </x:c>
    </x:row>
    <x:row r="130">
      <x:c r="G130" t="str">
        <x:f>IFERROR(E130/F130*100,"")</x:f>
      </x:c>
    </x:row>
    <x:row r="131">
      <x:c r="G131" t="str">
        <x:f>IFERROR(E131/F131*100,"")</x:f>
      </x:c>
    </x:row>
    <x:row r="132">
      <x:c r="G132" t="str">
        <x:f>IFERROR(E132/F132*100,"")</x:f>
      </x:c>
    </x:row>
    <x:row r="133">
      <x:c r="G133" t="str">
        <x:f>IFERROR(E133/F133*100,"")</x:f>
      </x:c>
    </x:row>
    <x:row r="134">
      <x:c r="G134" t="str">
        <x:f>IFERROR(E134/F134*100,"")</x:f>
      </x:c>
    </x:row>
    <x:row r="135">
      <x:c r="G135" t="str">
        <x:f>IFERROR(E135/F135*100,"")</x:f>
      </x:c>
    </x:row>
    <x:row r="136">
      <x:c r="G136" t="str">
        <x:f>IFERROR(E136/F136*100,"")</x:f>
      </x:c>
    </x:row>
    <x:row r="137">
      <x:c r="G137" t="str">
        <x:f>IFERROR(E137/F137*100,"")</x:f>
      </x:c>
    </x:row>
    <x:row r="138">
      <x:c r="G138" t="str">
        <x:f>IFERROR(E138/F138*100,"")</x:f>
      </x:c>
    </x:row>
    <x:row r="139">
      <x:c r="G139" t="str">
        <x:f>IFERROR(E139/F139*100,"")</x:f>
      </x:c>
    </x:row>
    <x:row r="140">
      <x:c r="G140" t="str">
        <x:f>IFERROR(E140/F140*100,"")</x:f>
      </x:c>
    </x:row>
    <x:row r="141">
      <x:c r="G141" t="str">
        <x:f>IFERROR(E141/F141*100,"")</x:f>
      </x:c>
    </x:row>
    <x:row r="142">
      <x:c r="G142" t="str">
        <x:f>IFERROR(E142/F142*100,"")</x:f>
      </x:c>
    </x:row>
    <x:row r="143">
      <x:c r="G143" t="str">
        <x:f>IFERROR(E143/F143*100,"")</x:f>
      </x:c>
    </x:row>
    <x:row r="144">
      <x:c r="G144" t="str">
        <x:f>IFERROR(E144/F144*100,"")</x:f>
      </x:c>
    </x:row>
    <x:row r="145">
      <x:c r="G145" t="str">
        <x:f>IFERROR(E145/F145*100,"")</x:f>
      </x:c>
    </x:row>
    <x:row r="146">
      <x:c r="G146" t="str">
        <x:f>IFERROR(E146/F146*100,"")</x:f>
      </x:c>
    </x:row>
    <x:row r="147">
      <x:c r="G147" t="str">
        <x:f>IFERROR(E147/F147*100,"")</x:f>
      </x:c>
    </x:row>
    <x:row r="148">
      <x:c r="G148" t="str">
        <x:f>IFERROR(E148/F148*100,"")</x:f>
      </x:c>
    </x:row>
    <x:row r="149">
      <x:c r="G149" t="str">
        <x:f>IFERROR(E149/F149*100,"")</x:f>
      </x:c>
    </x:row>
    <x:row r="150">
      <x:c r="G150" t="str">
        <x:f>IFERROR(E150/F150*100,"")</x:f>
      </x:c>
    </x:row>
    <x:row r="151">
      <x:c r="G151" t="str">
        <x:f>IFERROR(E151/F151*100,"")</x:f>
      </x:c>
    </x:row>
    <x:row r="152">
      <x:c r="G152" t="str">
        <x:f>IFERROR(E152/F152*100,"")</x:f>
      </x:c>
    </x:row>
    <x:row r="153">
      <x:c r="G153" t="str">
        <x:f>IFERROR(E153/F153*100,"")</x:f>
      </x:c>
    </x:row>
    <x:row r="154">
      <x:c r="G154" t="str">
        <x:f>IFERROR(E154/F154*100,"")</x:f>
      </x:c>
    </x:row>
    <x:row r="155">
      <x:c r="G155" t="str">
        <x:f>IFERROR(E155/F155*100,"")</x:f>
      </x:c>
    </x:row>
    <x:row r="156">
      <x:c r="G156" t="str">
        <x:f>IFERROR(E156/F156*100,"")</x:f>
      </x:c>
    </x:row>
    <x:row r="157">
      <x:c r="G157" t="str">
        <x:f>IFERROR(E157/F157*100,"")</x:f>
      </x:c>
    </x:row>
    <x:row r="158">
      <x:c r="G158" t="str">
        <x:f>IFERROR(E158/F158*100,"")</x:f>
      </x:c>
    </x:row>
    <x:row r="159">
      <x:c r="G159" t="str">
        <x:f>IFERROR(E159/F159*100,"")</x:f>
      </x:c>
    </x:row>
    <x:row r="160">
      <x:c r="G160" t="str">
        <x:f>IFERROR(E160/F160*100,"")</x:f>
      </x:c>
    </x:row>
    <x:row r="161">
      <x:c r="G161" t="str">
        <x:f>IFERROR(E161/F161*100,"")</x:f>
      </x:c>
    </x:row>
    <x:row r="162">
      <x:c r="G162" t="str">
        <x:f>IFERROR(E162/F162*100,"")</x:f>
      </x:c>
    </x:row>
    <x:row r="163">
      <x:c r="G163" t="str">
        <x:f>IFERROR(E163/F163*100,"")</x:f>
      </x:c>
    </x:row>
    <x:row r="164">
      <x:c r="G164" t="str">
        <x:f>IFERROR(E164/F164*100,"")</x:f>
      </x:c>
    </x:row>
    <x:row r="165">
      <x:c r="G165" t="str">
        <x:f>IFERROR(E165/F165*100,"")</x:f>
      </x:c>
    </x:row>
    <x:row r="166">
      <x:c r="G166" t="str">
        <x:f>IFERROR(E166/F166*100,"")</x:f>
      </x:c>
    </x:row>
    <x:row r="167">
      <x:c r="G167" t="str">
        <x:f>IFERROR(E167/F167*100,"")</x:f>
      </x:c>
    </x:row>
    <x:row r="168">
      <x:c r="G168" t="str">
        <x:f>IFERROR(E168/F168*100,"")</x:f>
      </x:c>
    </x:row>
    <x:row r="169">
      <x:c r="G169" t="str">
        <x:f>IFERROR(E169/F169*100,"")</x:f>
      </x:c>
    </x:row>
    <x:row r="170">
      <x:c r="G170" t="str">
        <x:f>IFERROR(E170/F170*100,"")</x:f>
      </x:c>
    </x:row>
    <x:row r="171">
      <x:c r="G171" t="str">
        <x:f>IFERROR(E171/F171*100,"")</x:f>
      </x:c>
    </x:row>
    <x:row r="172">
      <x:c r="G172" t="str">
        <x:f>IFERROR(E172/F172*100,"")</x:f>
      </x:c>
    </x:row>
    <x:row r="173">
      <x:c r="G173" t="str">
        <x:f>IFERROR(E173/F173*100,"")</x:f>
      </x:c>
    </x:row>
    <x:row r="174">
      <x:c r="G174" t="str">
        <x:f>IFERROR(E174/F174*100,"")</x:f>
      </x:c>
    </x:row>
    <x:row r="175">
      <x:c r="G175" t="str">
        <x:f>IFERROR(E175/F175*100,"")</x:f>
      </x:c>
    </x:row>
    <x:row r="176">
      <x:c r="G176" t="str">
        <x:f>IFERROR(E176/F176*100,"")</x:f>
      </x:c>
    </x:row>
    <x:row r="177">
      <x:c r="G177" t="str">
        <x:f>IFERROR(E177/F177*100,"")</x:f>
      </x:c>
    </x:row>
    <x:row r="178">
      <x:c r="G178" t="str">
        <x:f>IFERROR(E178/F178*100,"")</x:f>
      </x:c>
    </x:row>
    <x:row r="179">
      <x:c r="G179" t="str">
        <x:f>IFERROR(E179/F179*100,"")</x:f>
      </x:c>
    </x:row>
    <x:row r="180">
      <x:c r="G180" t="str">
        <x:f>IFERROR(E180/F180*100,"")</x:f>
      </x:c>
    </x:row>
    <x:row r="181">
      <x:c r="G181" t="str">
        <x:f>IFERROR(E181/F181*100,"")</x:f>
      </x:c>
    </x:row>
    <x:row r="182">
      <x:c r="G182" t="str">
        <x:f>IFERROR(E182/F182*100,"")</x:f>
      </x:c>
    </x:row>
    <x:row r="183">
      <x:c r="G183" t="str">
        <x:f>IFERROR(E183/F183*100,"")</x:f>
      </x:c>
    </x:row>
    <x:row r="184">
      <x:c r="G184" t="str">
        <x:f>IFERROR(E184/F184*100,"")</x:f>
      </x:c>
    </x:row>
    <x:row r="185">
      <x:c r="G185" t="str">
        <x:f>IFERROR(E185/F185*100,"")</x:f>
      </x:c>
    </x:row>
    <x:row r="186">
      <x:c r="G186" t="str">
        <x:f>IFERROR(E186/F186*100,"")</x:f>
      </x:c>
    </x:row>
    <x:row r="187">
      <x:c r="G187" t="str">
        <x:f>IFERROR(E187/F187*100,"")</x:f>
      </x:c>
    </x:row>
    <x:row r="188">
      <x:c r="G188" t="str">
        <x:f>IFERROR(E188/F188*100,"")</x:f>
      </x:c>
    </x:row>
    <x:row r="189">
      <x:c r="G189" t="str">
        <x:f>IFERROR(E189/F189*100,"")</x:f>
      </x:c>
    </x:row>
    <x:row r="190">
      <x:c r="G190" t="str">
        <x:f>IFERROR(E190/F190*100,"")</x:f>
      </x:c>
    </x:row>
    <x:row r="191">
      <x:c r="G191" t="str">
        <x:f>IFERROR(E191/F191*100,"")</x:f>
      </x:c>
    </x:row>
    <x:row r="192">
      <x:c r="G192" t="str">
        <x:f>IFERROR(E192/F192*100,"")</x:f>
      </x:c>
    </x:row>
    <x:row r="193">
      <x:c r="G193" t="str">
        <x:f>IFERROR(E193/F193*100,"")</x:f>
      </x:c>
    </x:row>
    <x:row r="194">
      <x:c r="G194" t="str">
        <x:f>IFERROR(E194/F194*100,"")</x:f>
      </x:c>
    </x:row>
    <x:row r="195">
      <x:c r="G195" t="str">
        <x:f>IFERROR(E195/F195*100,"")</x:f>
      </x:c>
    </x:row>
    <x:row r="196">
      <x:c r="G196" t="str">
        <x:f>IFERROR(E196/F196*100,"")</x:f>
      </x:c>
    </x:row>
    <x:row r="197">
      <x:c r="G197" t="str">
        <x:f>IFERROR(E197/F197*100,"")</x:f>
      </x:c>
    </x:row>
    <x:row r="198">
      <x:c r="G198" t="str">
        <x:f>IFERROR(E198/F198*100,"")</x:f>
      </x:c>
    </x:row>
    <x:row r="199">
      <x:c r="G199" t="str">
        <x:f>IFERROR(E199/F199*100,"")</x:f>
      </x:c>
    </x:row>
    <x:row r="200">
      <x:c r="G200" t="str">
        <x:f>IFERROR(E200/F200*100,"")</x:f>
      </x:c>
    </x:row>
    <x:row r="201">
      <x:c r="G201" t="str">
        <x:f>IFERROR(E201/F201*100,"")</x:f>
      </x:c>
    </x:row>
    <x:row r="202">
      <x:c r="G202" t="str">
        <x:f>IFERROR(E202/F202*100,"")</x:f>
      </x:c>
    </x:row>
    <x:row r="203">
      <x:c r="G203" t="str">
        <x:f>IFERROR(E203/F203*100,"")</x:f>
      </x:c>
    </x:row>
    <x:row r="204">
      <x:c r="G204" t="str">
        <x:f>IFERROR(E204/F204*100,"")</x:f>
      </x:c>
    </x:row>
    <x:row r="205">
      <x:c r="G205" t="str">
        <x:f>IFERROR(E205/F205*100,"")</x:f>
      </x:c>
    </x:row>
    <x:row r="206">
      <x:c r="G206" t="str">
        <x:f>IFERROR(E206/F206*100,"")</x:f>
      </x:c>
    </x:row>
    <x:row r="207">
      <x:c r="G207" t="str">
        <x:f>IFERROR(E207/F207*100,"")</x:f>
      </x:c>
    </x:row>
    <x:row r="208">
      <x:c r="G208" t="str">
        <x:f>IFERROR(E208/F208*100,"")</x:f>
      </x:c>
    </x:row>
    <x:row r="209">
      <x:c r="G209" t="str">
        <x:f>IFERROR(E209/F209*100,"")</x:f>
      </x:c>
    </x:row>
    <x:row r="210">
      <x:c r="G210" t="str">
        <x:f>IFERROR(E210/F210*100,"")</x:f>
      </x:c>
    </x:row>
    <x:row r="211">
      <x:c r="G211" t="str">
        <x:f>IFERROR(E211/F211*100,"")</x:f>
      </x:c>
    </x:row>
    <x:row r="212">
      <x:c r="G212" t="str">
        <x:f>IFERROR(E212/F212*100,"")</x:f>
      </x:c>
    </x:row>
    <x:row r="213">
      <x:c r="G213" t="str">
        <x:f>IFERROR(E213/F213*100,"")</x:f>
      </x:c>
    </x:row>
    <x:row r="214">
      <x:c r="G214" t="str">
        <x:f>IFERROR(E214/F214*100,"")</x:f>
      </x:c>
    </x:row>
    <x:row r="215">
      <x:c r="G215" t="str">
        <x:f>IFERROR(E215/F215*100,"")</x:f>
      </x:c>
    </x:row>
    <x:row r="216">
      <x:c r="G216" t="str">
        <x:f>IFERROR(E216/F216*100,"")</x:f>
      </x:c>
    </x:row>
    <x:row r="217">
      <x:c r="G217" t="str">
        <x:f>IFERROR(E217/F217*100,"")</x:f>
      </x:c>
    </x:row>
    <x:row r="218">
      <x:c r="G218" t="str">
        <x:f>IFERROR(E218/F218*100,"")</x:f>
      </x:c>
    </x:row>
    <x:row r="219">
      <x:c r="G219" t="str">
        <x:f>IFERROR(E219/F219*100,"")</x:f>
      </x:c>
    </x:row>
    <x:row r="220">
      <x:c r="G220" t="str">
        <x:f>IFERROR(E220/F220*100,"")</x:f>
      </x:c>
    </x:row>
    <x:row r="221">
      <x:c r="G221" t="str">
        <x:f>IFERROR(E221/F221*100,"")</x:f>
      </x:c>
    </x:row>
    <x:row r="222">
      <x:c r="G222" t="str">
        <x:f>IFERROR(E222/F222*100,"")</x:f>
      </x:c>
    </x:row>
    <x:row r="223">
      <x:c r="G223" t="str">
        <x:f>IFERROR(E223/F223*100,"")</x:f>
      </x:c>
    </x:row>
    <x:row r="224">
      <x:c r="G224" t="str">
        <x:f>IFERROR(E224/F224*100,"")</x:f>
      </x:c>
    </x:row>
    <x:row r="225">
      <x:c r="G225" t="str">
        <x:f>IFERROR(E225/F225*100,"")</x:f>
      </x:c>
    </x:row>
    <x:row r="226">
      <x:c r="G226" t="str">
        <x:f>IFERROR(E226/F226*100,"")</x:f>
      </x:c>
    </x:row>
    <x:row r="227">
      <x:c r="G227" t="str">
        <x:f>IFERROR(E227/F227*100,"")</x:f>
      </x:c>
    </x:row>
    <x:row r="228">
      <x:c r="G228" t="str">
        <x:f>IFERROR(E228/F228*100,"")</x:f>
      </x:c>
    </x:row>
    <x:row r="229">
      <x:c r="G229" t="str">
        <x:f>IFERROR(E229/F229*100,"")</x:f>
      </x:c>
    </x:row>
    <x:row r="230">
      <x:c r="G230" t="str">
        <x:f>IFERROR(E230/F230*100,"")</x:f>
      </x:c>
    </x:row>
    <x:row r="231">
      <x:c r="G231" t="str">
        <x:f>IFERROR(E231/F231*100,"")</x:f>
      </x:c>
    </x:row>
    <x:row r="232">
      <x:c r="G232" t="str">
        <x:f>IFERROR(E232/F232*100,"")</x:f>
      </x:c>
    </x:row>
    <x:row r="233">
      <x:c r="G233" t="str">
        <x:f>IFERROR(E233/F233*100,"")</x:f>
      </x:c>
    </x:row>
    <x:row r="234">
      <x:c r="G234" t="str">
        <x:f>IFERROR(E234/F234*100,"")</x:f>
      </x:c>
    </x:row>
    <x:row r="235">
      <x:c r="G235" t="str">
        <x:f>IFERROR(E235/F235*100,"")</x:f>
      </x:c>
    </x:row>
    <x:row r="236">
      <x:c r="G236" t="str">
        <x:f>IFERROR(E236/F236*100,"")</x:f>
      </x:c>
    </x:row>
    <x:row r="237">
      <x:c r="G237" t="str">
        <x:f>IFERROR(E237/F237*100,"")</x:f>
      </x:c>
    </x:row>
    <x:row r="238">
      <x:c r="G238" t="str">
        <x:f>IFERROR(E238/F238*100,"")</x:f>
      </x:c>
    </x:row>
    <x:row r="239">
      <x:c r="G239" t="str">
        <x:f>IFERROR(E239/F239*100,"")</x:f>
      </x:c>
    </x:row>
    <x:row r="240">
      <x:c r="G240" t="str">
        <x:f>IFERROR(E240/F240*100,"")</x:f>
      </x:c>
    </x:row>
    <x:row r="241">
      <x:c r="G241" t="str">
        <x:f>IFERROR(E241/F241*100,"")</x:f>
      </x:c>
    </x:row>
    <x:row r="242">
      <x:c r="G242" t="str">
        <x:f>IFERROR(E242/F242*100,"")</x:f>
      </x:c>
    </x:row>
    <x:row r="243">
      <x:c r="G243" t="str">
        <x:f>IFERROR(E243/F243*100,"")</x:f>
      </x:c>
    </x:row>
    <x:row r="244">
      <x:c r="G244" t="str">
        <x:f>IFERROR(E244/F244*100,"")</x:f>
      </x:c>
    </x:row>
    <x:row r="245">
      <x:c r="G245" t="str">
        <x:f>IFERROR(E245/F245*100,"")</x:f>
      </x:c>
    </x:row>
    <x:row r="246">
      <x:c r="G246" t="str">
        <x:f>IFERROR(E246/F246*100,"")</x:f>
      </x:c>
    </x:row>
    <x:row r="247">
      <x:c r="G247" t="str">
        <x:f>IFERROR(E247/F247*100,"")</x:f>
      </x:c>
    </x:row>
    <x:row r="248">
      <x:c r="G248" t="str">
        <x:f>IFERROR(E248/F248*100,"")</x:f>
      </x:c>
    </x:row>
    <x:row r="249">
      <x:c r="G249" t="str">
        <x:f>IFERROR(E249/F249*100,"")</x:f>
      </x:c>
    </x:row>
    <x:row r="250">
      <x:c r="G250" t="str">
        <x:f>IFERROR(E250/F250*100,"")</x:f>
      </x:c>
    </x:row>
    <x:row r="251">
      <x:c r="G251" t="str">
        <x:f>IFERROR(E251/F251*100,"")</x:f>
      </x:c>
    </x:row>
    <x:row r="252">
      <x:c r="G252" t="str">
        <x:f>IFERROR(E252/F252*100,"")</x:f>
      </x:c>
    </x:row>
    <x:row r="253">
      <x:c r="G253" t="str">
        <x:f>IFERROR(E253/F253*100,"")</x:f>
      </x:c>
    </x:row>
    <x:row r="254">
      <x:c r="G254" t="str">
        <x:f>IFERROR(E254/F254*100,"")</x:f>
      </x:c>
    </x:row>
    <x:row r="255">
      <x:c r="G255" t="str">
        <x:f>IFERROR(E255/F255*100,"")</x:f>
      </x:c>
    </x:row>
    <x:row r="256">
      <x:c r="G256" t="str">
        <x:f>IFERROR(E256/F256*100,"")</x:f>
      </x:c>
    </x:row>
    <x:row r="257">
      <x:c r="G257" t="str">
        <x:f>IFERROR(E257/F257*100,"")</x:f>
      </x:c>
    </x:row>
    <x:row r="258">
      <x:c r="G258" t="str">
        <x:f>IFERROR(E258/F258*100,"")</x:f>
      </x:c>
    </x:row>
    <x:row r="259">
      <x:c r="G259" t="str">
        <x:f>IFERROR(E259/F259*100,"")</x:f>
      </x:c>
    </x:row>
    <x:row r="260">
      <x:c r="G260" t="str">
        <x:f>IFERROR(E260/F260*100,"")</x:f>
      </x:c>
    </x:row>
    <x:row r="261">
      <x:c r="G261" t="str">
        <x:f>IFERROR(E261/F261*100,"")</x:f>
      </x:c>
    </x:row>
    <x:row r="262">
      <x:c r="G262" t="str">
        <x:f>IFERROR(E262/F262*100,"")</x:f>
      </x:c>
    </x:row>
    <x:row r="263">
      <x:c r="G263" t="str">
        <x:f>IFERROR(E263/F263*100,"")</x:f>
      </x:c>
    </x:row>
    <x:row r="264">
      <x:c r="G264" t="str">
        <x:f>IFERROR(E264/F264*100,"")</x:f>
      </x:c>
    </x:row>
    <x:row r="265">
      <x:c r="G265" t="str">
        <x:f>IFERROR(E265/F265*100,"")</x:f>
      </x:c>
    </x:row>
    <x:row r="266">
      <x:c r="G266" t="str">
        <x:f>IFERROR(E266/F266*100,"")</x:f>
      </x:c>
    </x:row>
    <x:row r="267">
      <x:c r="G267" t="str">
        <x:f>IFERROR(E267/F267*100,"")</x:f>
      </x:c>
    </x:row>
    <x:row r="268">
      <x:c r="G268" t="str">
        <x:f>IFERROR(E268/F268*100,"")</x:f>
      </x:c>
    </x:row>
    <x:row r="269">
      <x:c r="G269" t="str">
        <x:f>IFERROR(E269/F269*100,"")</x:f>
      </x:c>
    </x:row>
    <x:row r="270">
      <x:c r="G270" t="str">
        <x:f>IFERROR(E270/F270*100,"")</x:f>
      </x:c>
    </x:row>
    <x:row r="271">
      <x:c r="G271" t="str">
        <x:f>IFERROR(E271/F271*100,"")</x:f>
      </x:c>
    </x:row>
    <x:row r="272">
      <x:c r="G272" t="str">
        <x:f>IFERROR(E272/F272*100,"")</x:f>
      </x:c>
    </x:row>
    <x:row r="273">
      <x:c r="G273" t="str">
        <x:f>IFERROR(E273/F273*100,"")</x:f>
      </x:c>
    </x:row>
    <x:row r="274">
      <x:c r="G274" t="str">
        <x:f>IFERROR(E274/F274*100,"")</x:f>
      </x:c>
    </x:row>
    <x:row r="275">
      <x:c r="G275" t="str">
        <x:f>IFERROR(E275/F275*100,"")</x:f>
      </x:c>
    </x:row>
    <x:row r="276">
      <x:c r="G276" t="str">
        <x:f>IFERROR(E276/F276*100,"")</x:f>
      </x:c>
    </x:row>
    <x:row r="277">
      <x:c r="G277" t="str">
        <x:f>IFERROR(E277/F277*100,"")</x:f>
      </x:c>
    </x:row>
    <x:row r="278">
      <x:c r="G278" t="str">
        <x:f>IFERROR(E278/F278*100,"")</x:f>
      </x:c>
    </x:row>
    <x:row r="279">
      <x:c r="G279" t="str">
        <x:f>IFERROR(E279/F279*100,"")</x:f>
      </x:c>
    </x:row>
    <x:row r="280">
      <x:c r="G280" t="str">
        <x:f>IFERROR(E280/F280*100,"")</x:f>
      </x:c>
    </x:row>
    <x:row r="281">
      <x:c r="G281" t="str">
        <x:f>IFERROR(E281/F281*100,"")</x:f>
      </x:c>
    </x:row>
    <x:row r="282">
      <x:c r="G282" t="str">
        <x:f>IFERROR(E282/F282*100,"")</x:f>
      </x:c>
    </x:row>
    <x:row r="283">
      <x:c r="G283" t="str">
        <x:f>IFERROR(E283/F283*100,"")</x:f>
      </x:c>
    </x:row>
    <x:row r="284">
      <x:c r="G284" t="str">
        <x:f>IFERROR(E284/F284*100,"")</x:f>
      </x:c>
    </x:row>
    <x:row r="285">
      <x:c r="G285" t="str">
        <x:f>IFERROR(E285/F285*100,"")</x:f>
      </x:c>
    </x:row>
    <x:row r="286">
      <x:c r="G286" t="str">
        <x:f>IFERROR(E286/F286*100,"")</x:f>
      </x:c>
    </x:row>
    <x:row r="287">
      <x:c r="G287" t="str">
        <x:f>IFERROR(E287/F287*100,"")</x:f>
      </x:c>
    </x:row>
    <x:row r="288">
      <x:c r="G288" t="str">
        <x:f>IFERROR(E288/F288*100,"")</x:f>
      </x:c>
    </x:row>
    <x:row r="289">
      <x:c r="G289" t="str">
        <x:f>IFERROR(E289/F289*100,"")</x:f>
      </x:c>
    </x:row>
    <x:row r="290">
      <x:c r="G290" t="str">
        <x:f>IFERROR(E290/F290*100,"")</x:f>
      </x:c>
    </x:row>
    <x:row r="291">
      <x:c r="G291" t="str">
        <x:f>IFERROR(E291/F291*100,"")</x:f>
      </x:c>
    </x:row>
    <x:row r="292">
      <x:c r="G292" t="str">
        <x:f>IFERROR(E292/F292*100,"")</x:f>
      </x:c>
    </x:row>
    <x:row r="293">
      <x:c r="G293" t="str">
        <x:f>IFERROR(E293/F293*100,"")</x:f>
      </x:c>
    </x:row>
    <x:row r="294">
      <x:c r="G294" t="str">
        <x:f>IFERROR(E294/F294*100,"")</x:f>
      </x:c>
    </x:row>
    <x:row r="295">
      <x:c r="G295" t="str">
        <x:f>IFERROR(E295/F295*100,"")</x:f>
      </x:c>
    </x:row>
    <x:row r="296">
      <x:c r="G296" t="str">
        <x:f>IFERROR(E296/F296*100,"")</x:f>
      </x:c>
    </x:row>
    <x:row r="297">
      <x:c r="G297" t="str">
        <x:f>IFERROR(E297/F297*100,"")</x:f>
      </x:c>
    </x:row>
    <x:row r="298">
      <x:c r="G298" t="str">
        <x:f>IFERROR(E298/F298*100,"")</x:f>
      </x:c>
    </x:row>
    <x:row r="299">
      <x:c r="G299" t="str">
        <x:f>IFERROR(E299/F299*100,"")</x:f>
      </x:c>
    </x:row>
    <x:row r="300">
      <x:c r="G300" t="str">
        <x:f>IFERROR(E300/F300*100,"")</x:f>
      </x:c>
    </x:row>
  </x:sheetData>
  <x:dataValidations count="2">
    <x:dataValidation type="list" sqref="D2:D300">
      <x:formula1>"CO1,CO2,CO3,CO4,CO5"</x:formula1>
    </x:dataValidation>
    <x:dataValidation type="list" sqref="C2:C300">
      <x:formula1>"Unit I,Unit II,Unit III,Unit IV,Unit V"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38" hidden="0" customWidth="1"/>
  </x:cols>
  <x:sheetData>
    <x:row r="1">
      <x:c r="A1" s="53" t="str">
        <x:v>Question</x:v>
      </x:c>
      <x:c r="B1" s="53" t="str">
        <x:v>Unit</x:v>
      </x:c>
      <x:c r="C1" s="53" t="str">
        <x:v>CO</x:v>
      </x:c>
      <x:c r="D1" s="53" t="str">
        <x:v>Marks</x:v>
      </x:c>
      <x:c r="E1" s="53" t="str">
        <x:v>Draft Bloom level</x:v>
      </x:c>
      <x:c r="F1" s="53" t="str">
        <x:v>Task type</x:v>
      </x:c>
    </x:row>
    <x:row r="2">
      <x:c r="A2" s="32" t="str">
        <x:v>Q1</x:v>
      </x:c>
      <x:c r="B2" s="32" t="str">
        <x:v>Unit I</x:v>
      </x:c>
      <x:c r="C2" s="32" t="str">
        <x:v>CO1</x:v>
      </x:c>
      <x:c r="D2" s="32" t="n">
        <x:v>2</x:v>
      </x:c>
      <x:c r="E2" s="32" t="str">
        <x:v>K2</x:v>
      </x:c>
      <x:c r="F2" s="32" t="str">
        <x:v>Distinguish</x:v>
      </x:c>
    </x:row>
    <x:row r="3">
      <x:c r="A3" s="32" t="str">
        <x:v>Q2</x:v>
      </x:c>
      <x:c r="B3" s="32" t="str">
        <x:v>Unit II</x:v>
      </x:c>
      <x:c r="C3" s="32" t="str">
        <x:v>CO2</x:v>
      </x:c>
      <x:c r="D3" s="32" t="n">
        <x:v>2</x:v>
      </x:c>
      <x:c r="E3" s="32" t="str">
        <x:v>K3</x:v>
      </x:c>
      <x:c r="F3" s="32" t="str">
        <x:v>Numerical calculation</x:v>
      </x:c>
    </x:row>
    <x:row r="4">
      <x:c r="A4" s="32" t="str">
        <x:v>Q3</x:v>
      </x:c>
      <x:c r="B4" s="32" t="str">
        <x:v>Unit III</x:v>
      </x:c>
      <x:c r="C4" s="32" t="str">
        <x:v>CO3</x:v>
      </x:c>
      <x:c r="D4" s="32" t="n">
        <x:v>2</x:v>
      </x:c>
      <x:c r="E4" s="32" t="str">
        <x:v>K2</x:v>
      </x:c>
      <x:c r="F4" s="32" t="str">
        <x:v>Compare</x:v>
      </x:c>
    </x:row>
    <x:row r="5">
      <x:c r="A5" s="32" t="str">
        <x:v>Q4</x:v>
      </x:c>
      <x:c r="B5" s="32" t="str">
        <x:v>Unit IV</x:v>
      </x:c>
      <x:c r="C5" s="32" t="str">
        <x:v>CO4</x:v>
      </x:c>
      <x:c r="D5" s="32" t="n">
        <x:v>2</x:v>
      </x:c>
      <x:c r="E5" s="32" t="str">
        <x:v>K2</x:v>
      </x:c>
      <x:c r="F5" s="32" t="str">
        <x:v>Explain</x:v>
      </x:c>
    </x:row>
    <x:row r="6">
      <x:c r="A6" s="32" t="str">
        <x:v>Q5</x:v>
      </x:c>
      <x:c r="B6" s="32" t="str">
        <x:v>Unit V</x:v>
      </x:c>
      <x:c r="C6" s="32" t="str">
        <x:v>CO5</x:v>
      </x:c>
      <x:c r="D6" s="32" t="n">
        <x:v>2</x:v>
      </x:c>
      <x:c r="E6" s="32" t="str">
        <x:v>K2</x:v>
      </x:c>
      <x:c r="F6" s="32" t="str">
        <x:v>State purpose</x:v>
      </x:c>
    </x:row>
    <x:row r="7">
      <x:c r="A7" s="32" t="str">
        <x:v>Q6</x:v>
      </x:c>
      <x:c r="B7" s="32" t="str">
        <x:v>Unit I</x:v>
      </x:c>
      <x:c r="C7" s="32" t="str">
        <x:v>CO1/CO2</x:v>
      </x:c>
      <x:c r="D7" s="32" t="n">
        <x:v>8</x:v>
      </x:c>
      <x:c r="E7" s="32" t="str">
        <x:v>K4</x:v>
      </x:c>
      <x:c r="F7" s="32" t="str">
        <x:v>Threat analysis</x:v>
      </x:c>
    </x:row>
    <x:row r="8">
      <x:c r="A8" s="32" t="str">
        <x:v>Q7</x:v>
      </x:c>
      <x:c r="B8" s="32" t="str">
        <x:v>Unit II</x:v>
      </x:c>
      <x:c r="C8" s="32" t="str">
        <x:v>CO2/CO4</x:v>
      </x:c>
      <x:c r="D8" s="32" t="n">
        <x:v>8</x:v>
      </x:c>
      <x:c r="E8" s="32" t="str">
        <x:v>K4</x:v>
      </x:c>
      <x:c r="F8" s="32" t="str">
        <x:v>Algorithm comparison and selection</x:v>
      </x:c>
    </x:row>
    <x:row r="9">
      <x:c r="A9" s="32" t="str">
        <x:v>Q8</x:v>
      </x:c>
      <x:c r="B9" s="32" t="str">
        <x:v>Unit III</x:v>
      </x:c>
      <x:c r="C9" s="32" t="str">
        <x:v>CO3</x:v>
      </x:c>
      <x:c r="D9" s="32" t="n">
        <x:v>8</x:v>
      </x:c>
      <x:c r="E9" s="32" t="str">
        <x:v>K5</x:v>
      </x:c>
      <x:c r="F9" s="32" t="str">
        <x:v>Evaluate and propose controls</x:v>
      </x:c>
    </x:row>
    <x:row r="10">
      <x:c r="A10" s="32" t="str">
        <x:v>Q9</x:v>
      </x:c>
      <x:c r="B10" s="32" t="str">
        <x:v>Unit IV</x:v>
      </x:c>
      <x:c r="C10" s="32" t="str">
        <x:v>CO4/CO5</x:v>
      </x:c>
      <x:c r="D10" s="32" t="n">
        <x:v>8</x:v>
      </x:c>
      <x:c r="E10" s="32" t="str">
        <x:v>K4</x:v>
      </x:c>
      <x:c r="F10" s="32" t="str">
        <x:v>Protocol and scenario analysis</x:v>
      </x:c>
    </x:row>
    <x:row r="11">
      <x:c r="A11" s="32" t="str">
        <x:v>Q10</x:v>
      </x:c>
      <x:c r="B11" s="32" t="str">
        <x:v>Unit V</x:v>
      </x:c>
      <x:c r="C11" s="32" t="str">
        <x:v>CO3/CO5</x:v>
      </x:c>
      <x:c r="D11" s="32" t="n">
        <x:v>8</x:v>
      </x:c>
      <x:c r="E11" s="32" t="str">
        <x:v>K6</x:v>
      </x:c>
      <x:c r="F11" s="32" t="str">
        <x:v>Integrated security design</x:v>
      </x:c>
    </x:row>
    <x:row r="13">
      <x:c r="A13" s="48" t="str">
        <x:v>Draft 50-mark sample paper: 5 × 2 marks + 5 × 8 marks; equal unit marks (10 each). Not an official exam pattern and not a formal audit of a source question paper.</x:v>
      </x:c>
      <x:c r="B13" s="48"/>
      <x:c r="C13" s="48"/>
      <x:c r="D13" s="48"/>
      <x:c r="E13" s="48"/>
      <x:c r="F13" s="48"/>
    </x:row>
  </x:sheetData>
  <x:mergeCells>
    <x:mergeCell ref="A13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53" t="str">
        <x:v>Timestamp</x:v>
      </x:c>
      <x:c r="B1" s="53" t="str">
        <x:v>Anonymous Code</x:v>
      </x:c>
      <x:c r="C1" s="53" t="str">
        <x:v>Unit</x:v>
      </x:c>
      <x:c r="D1" s="53" t="str">
        <x:v>Confidence (1-5)</x:v>
      </x:c>
      <x:c r="E1" s="53" t="str">
        <x:v>Most Clear</x:v>
      </x:c>
      <x:c r="F1" s="53" t="str">
        <x:v>Still Unclear</x:v>
      </x:c>
      <x:c r="G1" s="53" t="str">
        <x:v>Question for Next Class</x:v>
      </x:c>
    </x:row>
    <x:row r="2">
      <x:c r="A2" s="32" t="str">
        <x:v>SIMULATED</x:v>
      </x:c>
      <x:c r="B2" s="32" t="str">
        <x:v>DEMO-A</x:v>
      </x:c>
      <x:c r="C2" s="32" t="str">
        <x:v>Unit I</x:v>
      </x:c>
      <x:c r="D2" s="32" t="n">
        <x:v>4</x:v>
      </x:c>
      <x:c r="E2" s="32" t="str">
        <x:v>Security service examples</x:v>
      </x:c>
      <x:c r="F2" s="32" t="str">
        <x:v>Difference between service and mechanism</x:v>
      </x:c>
      <x:c r="G2" s="32" t="str">
        <x:v>Can one control address two threats?</x:v>
      </x:c>
    </x:row>
    <x:row r="3">
      <x:c r="A3" s="32" t="str">
        <x:v>SIMULATED</x:v>
      </x:c>
      <x:c r="B3" s="32" t="str">
        <x:v>DEMO-B</x:v>
      </x:c>
      <x:c r="C3" s="32" t="str">
        <x:v>Unit II</x:v>
      </x:c>
      <x:c r="D3" s="32" t="n">
        <x:v>3</x:v>
      </x:c>
      <x:c r="E3" s="32" t="str">
        <x:v>AES purpose</x:v>
      </x:c>
      <x:c r="F3" s="32" t="str">
        <x:v>RSA key calculation</x:v>
      </x:c>
      <x:c r="G3" s="32" t="str">
        <x:v>When should hybrid encryption be used?</x:v>
      </x:c>
    </x:row>
    <x:row r="4">
      <x:c r="A4" s="32" t="str">
        <x:v>SIMULATED</x:v>
      </x:c>
      <x:c r="B4" s="32" t="str">
        <x:v>DEMO-C</x:v>
      </x:c>
      <x:c r="C4" s="32" t="str">
        <x:v>Unit III</x:v>
      </x:c>
      <x:c r="D4" s="32" t="n">
        <x:v>2</x:v>
      </x:c>
      <x:c r="E4" s="32" t="str">
        <x:v>Hashing detects changes</x:v>
      </x:c>
      <x:c r="F4" s="32" t="str">
        <x:v>HMAC vs digital signature</x:v>
      </x:c>
      <x:c r="G4" s="32" t="str">
        <x:v>Who validates a public key?</x:v>
      </x:c>
    </x:row>
    <x:row r="5">
      <x:c r="A5" s="32" t="str">
        <x:v>SIMULATED</x:v>
      </x:c>
      <x:c r="B5" s="32" t="str">
        <x:v>DEMO-D</x:v>
      </x:c>
      <x:c r="C5" s="32" t="str">
        <x:v>Unit IV</x:v>
      </x:c>
      <x:c r="D5" s="32" t="n">
        <x:v>3</x:v>
      </x:c>
      <x:c r="E5" s="32" t="str">
        <x:v>HTTPS gives encrypted transport</x:v>
      </x:c>
      <x:c r="F5" s="32" t="str">
        <x:v>Certificate warnings</x:v>
      </x:c>
      <x:c r="G5" s="32" t="str">
        <x:v>What does SSH protect?</x:v>
      </x:c>
    </x:row>
    <x:row r="6">
      <x:c r="A6" s="32" t="str">
        <x:v>SIMULATED</x:v>
      </x:c>
      <x:c r="B6" s="32" t="str">
        <x:v>DEMO-E</x:v>
      </x:c>
      <x:c r="C6" s="32" t="str">
        <x:v>Unit V</x:v>
      </x:c>
      <x:c r="D6" s="32" t="n">
        <x:v>2</x:v>
      </x:c>
      <x:c r="E6" s="32" t="str">
        <x:v>ESP can give confidentiality</x:v>
      </x:c>
      <x:c r="F6" s="32" t="str">
        <x:v>AH and ESP differences</x:v>
      </x:c>
      <x:c r="G6" s="32" t="str">
        <x:v>How do security associations work?</x:v>
      </x:c>
    </x:row>
    <x:row r="8">
      <x:c r="A8" s="48" t="str">
        <x:v>All records above are synthetic examples for testing the workbook. Do not treat them as student feedback. Use anonymous/approved data only.</x:v>
      </x:c>
      <x:c r="B8" s="48"/>
      <x:c r="C8" s="48"/>
      <x:c r="D8" s="48"/>
      <x:c r="E8" s="48"/>
      <x:c r="F8" s="48"/>
      <x:c r="G8" s="48"/>
    </x:row>
    <x:row r="9">
      <x:c r="A9" s="48"/>
      <x:c r="B9" s="48"/>
      <x:c r="C9" s="48"/>
      <x:c r="D9" s="48"/>
      <x:c r="E9" s="48"/>
      <x:c r="F9" s="48"/>
      <x:c r="G9" s="48"/>
    </x:row>
  </x:sheetData>
  <x:mergeCells>
    <x:mergeCell ref="A8:G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53" t="str">
        <x:v>Week</x:v>
      </x:c>
      <x:c r="B1" s="53" t="str">
        <x:v>Unit</x:v>
      </x:c>
      <x:c r="C1" s="53" t="str">
        <x:v>Responses</x:v>
      </x:c>
      <x:c r="D1" s="53" t="str">
        <x:v>Average Confidence</x:v>
      </x:c>
      <x:c r="E1" s="53" t="str">
        <x:v>Common Clear Themes</x:v>
      </x:c>
      <x:c r="F1" s="53" t="str">
        <x:v>Common Unclear Themes</x:v>
      </x:c>
      <x:c r="G1" s="53" t="str">
        <x:v>Faculty Action</x:v>
      </x:c>
    </x:row>
    <x:row r="2">
      <x:c r="A2" s="32" t="str">
        <x:v>Demo W1</x:v>
      </x:c>
      <x:c r="B2" s="32" t="str">
        <x:v>Unit I</x:v>
      </x:c>
      <x:c r="C2" s="32" t="n">
        <x:v>1</x:v>
      </x:c>
      <x:c r="D2" s="32" t="n">
        <x:v>4</x:v>
      </x:c>
      <x:c r="E2" s="32" t="str">
        <x:v>security service examples</x:v>
      </x:c>
      <x:c r="F2" s="32" t="str">
        <x:v>service vs mechanism</x:v>
      </x:c>
      <x:c r="G2" s="32" t="str">
        <x:v>Add matching exercise</x:v>
      </x:c>
    </x:row>
    <x:row r="3">
      <x:c r="A3" s="32" t="str">
        <x:v>Demo W2</x:v>
      </x:c>
      <x:c r="B3" s="32" t="str">
        <x:v>Unit II</x:v>
      </x:c>
      <x:c r="C3" s="32" t="n">
        <x:v>1</x:v>
      </x:c>
      <x:c r="D3" s="32" t="n">
        <x:v>3</x:v>
      </x:c>
      <x:c r="E3" s="32" t="str">
        <x:v>AES purpose</x:v>
      </x:c>
      <x:c r="F3" s="32" t="str">
        <x:v>RSA calculations</x:v>
      </x:c>
      <x:c r="G3" s="32" t="str">
        <x:v>Work through one complete example</x:v>
      </x:c>
    </x:row>
    <x:row r="4">
      <x:c r="A4" s="32" t="str">
        <x:v>Demo W3</x:v>
      </x:c>
      <x:c r="B4" s="32" t="str">
        <x:v>Unit III</x:v>
      </x:c>
      <x:c r="C4" s="32" t="n">
        <x:v>1</x:v>
      </x:c>
      <x:c r="D4" s="32" t="n">
        <x:v>2</x:v>
      </x:c>
      <x:c r="E4" s="32" t="str">
        <x:v>hash detects changes</x:v>
      </x:c>
      <x:c r="F4" s="32" t="str">
        <x:v>HMAC vs signature</x:v>
      </x:c>
      <x:c r="G4" s="32" t="str">
        <x:v>Use side-by-side comparison</x:v>
      </x:c>
    </x:row>
    <x:row r="5">
      <x:c r="A5" s="32" t="str">
        <x:v>Demo W4</x:v>
      </x:c>
      <x:c r="B5" s="32" t="str">
        <x:v>Unit IV</x:v>
      </x:c>
      <x:c r="C5" s="32" t="n">
        <x:v>1</x:v>
      </x:c>
      <x:c r="D5" s="32" t="n">
        <x:v>3</x:v>
      </x:c>
      <x:c r="E5" s="32" t="str">
        <x:v>HTTPS encryption</x:v>
      </x:c>
      <x:c r="F5" s="32" t="str">
        <x:v>certificate warning</x:v>
      </x:c>
      <x:c r="G5" s="32" t="str">
        <x:v>Demonstrate certificate chain</x:v>
      </x:c>
    </x:row>
    <x:row r="6">
      <x:c r="A6" s="32" t="str">
        <x:v>Demo W5</x:v>
      </x:c>
      <x:c r="B6" s="32" t="str">
        <x:v>Unit V</x:v>
      </x:c>
      <x:c r="C6" s="32" t="n">
        <x:v>1</x:v>
      </x:c>
      <x:c r="D6" s="32" t="n">
        <x:v>2</x:v>
      </x:c>
      <x:c r="E6" s="32" t="str">
        <x:v>ESP confidentiality</x:v>
      </x:c>
      <x:c r="F6" s="32" t="str">
        <x:v>AH vs ESP</x:v>
      </x:c>
      <x:c r="G6" s="32" t="str">
        <x:v>Use IPsec packet diagram</x:v>
      </x:c>
    </x:row>
    <x:row r="8">
      <x:c r="A8" s="48" t="str">
        <x:v>The sample reflection summaries are invented for demonstration. The included Apps Script builds anonymised word/theme summaries only; faculty must review before drawing teaching conclusions.</x:v>
      </x:c>
      <x:c r="B8" s="48"/>
      <x:c r="C8" s="48"/>
      <x:c r="D8" s="48"/>
      <x:c r="E8" s="48"/>
      <x:c r="F8" s="48"/>
      <x:c r="G8" s="48"/>
    </x:row>
    <x:row r="9">
      <x:c r="A9" s="48"/>
      <x:c r="B9" s="48"/>
      <x:c r="C9" s="48"/>
      <x:c r="D9" s="48"/>
      <x:c r="E9" s="48"/>
      <x:c r="F9" s="48"/>
      <x:c r="G9" s="48"/>
    </x:row>
  </x:sheetData>
  <x:mergeCells>
    <x:mergeCell ref="A8:G9"/>
  </x:mergeCells>
  <x:pageMargins left="0.7" right="0.7" top="0.75" bottom="0.75" header="0.3" footer="0.3"/>
</x:worksheet>
</file>